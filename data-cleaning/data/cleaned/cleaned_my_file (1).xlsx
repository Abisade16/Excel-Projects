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6A54AA-215C-40F4-99B8-7EE7FEE61C11}" xr6:coauthVersionLast="47" xr6:coauthVersionMax="47" xr10:uidLastSave="{00000000-0000-0000-0000-000000000000}"/>
  <bookViews>
    <workbookView xWindow="-110" yWindow="-110" windowWidth="19420" windowHeight="11020" firstSheet="2" activeTab="3" xr2:uid="{00000000-000D-0000-FFFF-FFFF00000000}"/>
  </bookViews>
  <sheets>
    <sheet name="Shows gone by artistes yearly" sheetId="2" r:id="rId1"/>
    <sheet name="Number of tours V Artistes" sheetId="3" r:id="rId2"/>
    <sheet name="Acutal gross for each Artiste" sheetId="5" r:id="rId3"/>
    <sheet name="my_file (1)" sheetId="1" r:id="rId4"/>
  </sheets>
  <definedNames>
    <definedName name="_xlnm._FilterDatabase" localSheetId="3" hidden="1">'my_file (1)'!$A$1:$J$21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L3" i="1"/>
  <c r="L2" i="1"/>
</calcChain>
</file>

<file path=xl/sharedStrings.xml><?xml version="1.0" encoding="utf-8"?>
<sst xmlns="http://schemas.openxmlformats.org/spreadsheetml/2006/main" count="137" uniqueCount="78">
  <si>
    <t>Rank</t>
  </si>
  <si>
    <t>Tour title</t>
  </si>
  <si>
    <t>Average gross</t>
  </si>
  <si>
    <t>Ref.</t>
  </si>
  <si>
    <t>Taylor Swift</t>
  </si>
  <si>
    <t>[1]</t>
  </si>
  <si>
    <t>Renaissance World Tour</t>
  </si>
  <si>
    <t>[3]</t>
  </si>
  <si>
    <t>Madonna</t>
  </si>
  <si>
    <t>[6]</t>
  </si>
  <si>
    <t>Pink</t>
  </si>
  <si>
    <t>Beautiful Trauma World Tour</t>
  </si>
  <si>
    <t>[7]</t>
  </si>
  <si>
    <t>Reputation Stadium Tour</t>
  </si>
  <si>
    <t>[8]</t>
  </si>
  <si>
    <t>The MDNA Tour</t>
  </si>
  <si>
    <t>[9]</t>
  </si>
  <si>
    <t>Celine Dion</t>
  </si>
  <si>
    <t>Taking Chances World Tour</t>
  </si>
  <si>
    <t>[11]</t>
  </si>
  <si>
    <t>[12]</t>
  </si>
  <si>
    <t>The Formation World Tour</t>
  </si>
  <si>
    <t>[13]</t>
  </si>
  <si>
    <t>The 1989 World Tour</t>
  </si>
  <si>
    <t>[14]</t>
  </si>
  <si>
    <t>The Mrs. Carter Show World Tour</t>
  </si>
  <si>
    <t>[15][16]</t>
  </si>
  <si>
    <t>Lady Gaga</t>
  </si>
  <si>
    <t>[18]</t>
  </si>
  <si>
    <t>Katy Perry</t>
  </si>
  <si>
    <t>Prismatic World Tour</t>
  </si>
  <si>
    <t>[19]</t>
  </si>
  <si>
    <t>Cher</t>
  </si>
  <si>
    <t>[20]</t>
  </si>
  <si>
    <t>Confessions Tour</t>
  </si>
  <si>
    <t>[5]</t>
  </si>
  <si>
    <t>The Truth About Love Tour</t>
  </si>
  <si>
    <t>[22]</t>
  </si>
  <si>
    <t>Born This Way Ball</t>
  </si>
  <si>
    <t>[d]</t>
  </si>
  <si>
    <t>Rebel Heart Tour</t>
  </si>
  <si>
    <t>[4]</t>
  </si>
  <si>
    <t>Adele</t>
  </si>
  <si>
    <t>Adele Live 2016</t>
  </si>
  <si>
    <t>[25]</t>
  </si>
  <si>
    <t>The Red Tour</t>
  </si>
  <si>
    <t>[26]</t>
  </si>
  <si>
    <t>Actual gross</t>
  </si>
  <si>
    <t>2023 - 2024</t>
  </si>
  <si>
    <t>2008 - 2009</t>
  </si>
  <si>
    <t>2018 - 2019</t>
  </si>
  <si>
    <t>2013 - 2014</t>
  </si>
  <si>
    <t>2009 - 2011</t>
  </si>
  <si>
    <t>2014 - 2015</t>
  </si>
  <si>
    <t>2002 - 2005</t>
  </si>
  <si>
    <t>2012 - 2013</t>
  </si>
  <si>
    <t>2015 - 2016</t>
  </si>
  <si>
    <t>2016 - 2017</t>
  </si>
  <si>
    <t>The Eras Tour   </t>
  </si>
  <si>
    <t>Summer Carnival   </t>
  </si>
  <si>
    <t>Beyonce</t>
  </si>
  <si>
    <t xml:space="preserve">Living Proof: The Farewell Tour </t>
  </si>
  <si>
    <t>The Monster Ball Tour</t>
  </si>
  <si>
    <t>Sticky &amp; Sweet Tour</t>
  </si>
  <si>
    <t>Total actual gross</t>
  </si>
  <si>
    <t>Adjusted gross</t>
  </si>
  <si>
    <t>Total adjusted gross</t>
  </si>
  <si>
    <t>Row Labels</t>
  </si>
  <si>
    <t>(blank)</t>
  </si>
  <si>
    <t>Grand Total</t>
  </si>
  <si>
    <t>Sum of Shows</t>
  </si>
  <si>
    <t>Column Labels</t>
  </si>
  <si>
    <t>Count of Tour title</t>
  </si>
  <si>
    <t>Artistes</t>
  </si>
  <si>
    <t>Sum of Actual gross</t>
  </si>
  <si>
    <t>Year</t>
  </si>
  <si>
    <t>Number of Shows</t>
  </si>
  <si>
    <t>fixed Tour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</si>
</sst>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sade" refreshedDate="46209.121367245367" createdVersion="8" refreshedVersion="8" minRefreshableVersion="3" recordCount="21" xr:uid="{00000000-000A-0000-FFFF-FFFF09000000}">
  <cacheSource type="worksheet">
    <worksheetSource ref="A1:J1048576" sheet="my_file (1)"/>
  </cacheSource>
  <cacheFields count="9">
    <cacheField name="Rank" numFmtId="0">
      <sharedItems containsString="0" containsBlank="1" containsNumber="1" containsInteger="1" minValue="1" maxValue="20"/>
    </cacheField>
    <cacheField name="Artist" numFmtId="0">
      <sharedItems containsBlank="1" count="10">
        <s v="Taylor Swift"/>
        <s v="Beyonce"/>
        <s v="Madonna"/>
        <s v="Pink"/>
        <s v="Celine Dion"/>
        <s v="Lady Gaga"/>
        <s v="Katy Perry"/>
        <s v="Cher"/>
        <s v="Adele"/>
        <m/>
      </sharedItems>
    </cacheField>
    <cacheField name="Tour title" numFmtId="0">
      <sharedItems containsBlank="1" count="21">
        <s v="The Eras Tour   "/>
        <s v="Renaissance World Tour"/>
        <s v="Sticky &amp; Sweet Tour"/>
        <s v="Beautiful Trauma World Tour"/>
        <s v="Reputation Stadium Tour"/>
        <s v="The MDNA Tour"/>
        <s v="Taking Chances World Tour"/>
        <s v="Summer Carnival   "/>
        <s v="The Formation World Tour"/>
        <s v="The 1989 World Tour"/>
        <s v="The Mrs. Carter Show World Tour"/>
        <s v="The Monster Ball Tour"/>
        <s v="Prismatic World Tour"/>
        <s v="Living Proof: The Farewell Tour "/>
        <s v="Confessions Tour"/>
        <s v="The Truth About Love Tour"/>
        <s v="Born This Way Ball"/>
        <s v="Rebel Heart Tour"/>
        <s v="Adele Live 2016"/>
        <s v="The Red Tour"/>
        <m/>
      </sharedItems>
    </cacheField>
    <cacheField name="Year(s)" numFmtId="0">
      <sharedItems containsBlank="1" containsMixedTypes="1" containsNumber="1" containsInteger="1" minValue="2006" maxValue="2023" count="17">
        <s v="2023 - 2024"/>
        <n v="2023"/>
        <s v="2008 - 2009"/>
        <s v="2018 - 2019"/>
        <n v="2018"/>
        <n v="2012"/>
        <n v="2016"/>
        <n v="2015"/>
        <s v="2013 - 2014"/>
        <s v="2009 - 2011"/>
        <s v="2014 - 2015"/>
        <s v="2002 - 2005"/>
        <n v="2006"/>
        <s v="2012 - 2013"/>
        <s v="2015 - 2016"/>
        <s v="2016 - 2017"/>
        <m/>
      </sharedItems>
    </cacheField>
    <cacheField name="Shows" numFmtId="0">
      <sharedItems containsString="0" containsBlank="1" containsNumber="1" containsInteger="1" minValue="41" maxValue="325"/>
    </cacheField>
    <cacheField name="Actual gross" numFmtId="0">
      <sharedItems containsString="0" containsBlank="1" containsNumber="1" containsInteger="1" minValue="150000000" maxValue="780000000"/>
    </cacheField>
    <cacheField name="Adjusted gross" numFmtId="0">
      <sharedItems containsString="0" containsBlank="1" containsNumber="1" containsInteger="1" minValue="185423109" maxValue="780000000"/>
    </cacheField>
    <cacheField name="Average gross" numFmtId="0">
      <sharedItems containsString="0" containsBlank="1" containsNumber="1" containsInteger="1" minValue="615385" maxValue="13928571"/>
    </cacheField>
    <cacheField name="Ref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sade" refreshedDate="46209.126159027779" createdVersion="8" refreshedVersion="8" minRefreshableVersion="3" recordCount="20" xr:uid="{00000000-000A-0000-FFFF-FFFF13000000}">
  <cacheSource type="worksheet">
    <worksheetSource ref="A1:J21" sheet="my_file (1)"/>
  </cacheSource>
  <cacheFields count="9">
    <cacheField name="Rank" numFmtId="0">
      <sharedItems containsSemiMixedTypes="0" containsString="0" containsNumber="1" containsInteger="1" minValue="1" maxValue="20"/>
    </cacheField>
    <cacheField name="Artistes" numFmtId="0">
      <sharedItems count="9">
        <s v="Taylor Swift"/>
        <s v="Beyonce"/>
        <s v="Madonna"/>
        <s v="Pink"/>
        <s v="Celine Dion"/>
        <s v="Lady Gaga"/>
        <s v="Katy Perry"/>
        <s v="Cher"/>
        <s v="Adele"/>
      </sharedItems>
    </cacheField>
    <cacheField name="Tour title" numFmtId="0">
      <sharedItems/>
    </cacheField>
    <cacheField name="Year(s)" numFmtId="0">
      <sharedItems containsMixedTypes="1" containsNumber="1" containsInteger="1" minValue="2006" maxValue="2023"/>
    </cacheField>
    <cacheField name="Shows" numFmtId="0">
      <sharedItems containsSemiMixedTypes="0" containsString="0" containsNumber="1" containsInteger="1" minValue="41" maxValue="325"/>
    </cacheField>
    <cacheField name="Actual gross" numFmtId="6">
      <sharedItems containsSemiMixedTypes="0" containsString="0" containsNumber="1" containsInteger="1" minValue="150000000" maxValue="780000000"/>
    </cacheField>
    <cacheField name="Adjusted gross" numFmtId="6">
      <sharedItems containsSemiMixedTypes="0" containsString="0" containsNumber="1" containsInteger="1" minValue="185423109" maxValue="780000000"/>
    </cacheField>
    <cacheField name="Average gross" numFmtId="6">
      <sharedItems containsSemiMixedTypes="0" containsString="0" containsNumber="1" containsInteger="1" minValue="615385" maxValue="13928571"/>
    </cacheField>
    <cacheField name="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n v="1"/>
    <x v="0"/>
    <x v="0"/>
    <x v="0"/>
    <n v="56"/>
    <n v="780000000"/>
    <n v="780000000"/>
    <n v="13928571"/>
    <s v="[1]"/>
  </r>
  <r>
    <n v="2"/>
    <x v="1"/>
    <x v="1"/>
    <x v="1"/>
    <n v="56"/>
    <n v="579800000"/>
    <n v="579800000"/>
    <n v="10353571"/>
    <s v="[3]"/>
  </r>
  <r>
    <n v="3"/>
    <x v="2"/>
    <x v="2"/>
    <x v="2"/>
    <n v="85"/>
    <n v="411000000"/>
    <n v="560622615"/>
    <n v="4835294"/>
    <s v="[6]"/>
  </r>
  <r>
    <n v="4"/>
    <x v="3"/>
    <x v="3"/>
    <x v="3"/>
    <n v="156"/>
    <n v="397300000"/>
    <n v="454751555"/>
    <n v="2546795"/>
    <s v="[7]"/>
  </r>
  <r>
    <n v="5"/>
    <x v="0"/>
    <x v="4"/>
    <x v="4"/>
    <n v="53"/>
    <n v="345675146"/>
    <n v="402844849"/>
    <n v="6522173"/>
    <s v="[8]"/>
  </r>
  <r>
    <n v="6"/>
    <x v="2"/>
    <x v="5"/>
    <x v="5"/>
    <n v="88"/>
    <n v="305158363"/>
    <n v="388978496"/>
    <n v="3467709"/>
    <s v="[9]"/>
  </r>
  <r>
    <n v="7"/>
    <x v="4"/>
    <x v="6"/>
    <x v="2"/>
    <n v="131"/>
    <n v="280000000"/>
    <n v="381932682"/>
    <n v="2137405"/>
    <s v="[11]"/>
  </r>
  <r>
    <n v="7"/>
    <x v="3"/>
    <x v="7"/>
    <x v="0"/>
    <n v="41"/>
    <n v="257600000"/>
    <n v="257600000"/>
    <n v="6282927"/>
    <s v="[12]"/>
  </r>
  <r>
    <n v="9"/>
    <x v="1"/>
    <x v="8"/>
    <x v="6"/>
    <n v="49"/>
    <n v="256084556"/>
    <n v="312258401"/>
    <n v="5226215"/>
    <s v="[13]"/>
  </r>
  <r>
    <n v="10"/>
    <x v="0"/>
    <x v="9"/>
    <x v="7"/>
    <n v="85"/>
    <n v="250400000"/>
    <n v="309141878"/>
    <n v="2945882"/>
    <s v="[14]"/>
  </r>
  <r>
    <n v="11"/>
    <x v="1"/>
    <x v="10"/>
    <x v="8"/>
    <n v="132"/>
    <n v="229100000"/>
    <n v="283202896"/>
    <n v="1735606"/>
    <s v="[15][16]"/>
  </r>
  <r>
    <n v="12"/>
    <x v="5"/>
    <x v="11"/>
    <x v="9"/>
    <n v="203"/>
    <n v="227400000"/>
    <n v="295301479"/>
    <n v="1118227"/>
    <s v="[18]"/>
  </r>
  <r>
    <n v="13"/>
    <x v="6"/>
    <x v="12"/>
    <x v="10"/>
    <n v="151"/>
    <n v="204000000"/>
    <n v="251856802"/>
    <n v="1350993"/>
    <s v="[19]"/>
  </r>
  <r>
    <n v="14"/>
    <x v="7"/>
    <x v="13"/>
    <x v="11"/>
    <n v="325"/>
    <n v="200000000"/>
    <n v="299676265"/>
    <n v="615385"/>
    <s v="[20]"/>
  </r>
  <r>
    <n v="15"/>
    <x v="2"/>
    <x v="14"/>
    <x v="12"/>
    <n v="60"/>
    <n v="194000000"/>
    <n v="281617035"/>
    <n v="3233333"/>
    <s v="[5]"/>
  </r>
  <r>
    <n v="16"/>
    <x v="3"/>
    <x v="15"/>
    <x v="8"/>
    <n v="142"/>
    <n v="184000000"/>
    <n v="227452347"/>
    <n v="1295775"/>
    <s v="[22]"/>
  </r>
  <r>
    <n v="17"/>
    <x v="5"/>
    <x v="16"/>
    <x v="13"/>
    <n v="98"/>
    <n v="170000000"/>
    <n v="213568571"/>
    <n v="1734694"/>
    <s v="[d]"/>
  </r>
  <r>
    <n v="18"/>
    <x v="2"/>
    <x v="17"/>
    <x v="14"/>
    <n v="82"/>
    <n v="169800000"/>
    <n v="207046755"/>
    <n v="2070732"/>
    <s v="[4]"/>
  </r>
  <r>
    <n v="19"/>
    <x v="8"/>
    <x v="18"/>
    <x v="15"/>
    <n v="121"/>
    <n v="167700000"/>
    <n v="204486106"/>
    <n v="1385950"/>
    <s v="[25]"/>
  </r>
  <r>
    <n v="20"/>
    <x v="0"/>
    <x v="19"/>
    <x v="8"/>
    <n v="86"/>
    <n v="150000000"/>
    <n v="185423109"/>
    <n v="1744186"/>
    <s v="[26]"/>
  </r>
  <r>
    <m/>
    <x v="9"/>
    <x v="20"/>
    <x v="1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n v="1"/>
    <x v="0"/>
    <s v="The Eras Tour   "/>
    <s v="2023 - 2024"/>
    <n v="56"/>
    <n v="780000000"/>
    <n v="780000000"/>
    <n v="13928571"/>
    <s v="[1]"/>
  </r>
  <r>
    <n v="2"/>
    <x v="1"/>
    <s v="Renaissance World Tour"/>
    <n v="2023"/>
    <n v="56"/>
    <n v="579800000"/>
    <n v="579800000"/>
    <n v="10353571"/>
    <s v="[3]"/>
  </r>
  <r>
    <n v="3"/>
    <x v="2"/>
    <s v="Sticky &amp; Sweet Tour"/>
    <s v="2008 - 2009"/>
    <n v="85"/>
    <n v="411000000"/>
    <n v="560622615"/>
    <n v="4835294"/>
    <s v="[6]"/>
  </r>
  <r>
    <n v="4"/>
    <x v="3"/>
    <s v="Beautiful Trauma World Tour"/>
    <s v="2018 - 2019"/>
    <n v="156"/>
    <n v="397300000"/>
    <n v="454751555"/>
    <n v="2546795"/>
    <s v="[7]"/>
  </r>
  <r>
    <n v="5"/>
    <x v="0"/>
    <s v="Reputation Stadium Tour"/>
    <n v="2018"/>
    <n v="53"/>
    <n v="345675146"/>
    <n v="402844849"/>
    <n v="6522173"/>
    <s v="[8]"/>
  </r>
  <r>
    <n v="6"/>
    <x v="2"/>
    <s v="The MDNA Tour"/>
    <n v="2012"/>
    <n v="88"/>
    <n v="305158363"/>
    <n v="388978496"/>
    <n v="3467709"/>
    <s v="[9]"/>
  </r>
  <r>
    <n v="7"/>
    <x v="4"/>
    <s v="Taking Chances World Tour"/>
    <s v="2008 - 2009"/>
    <n v="131"/>
    <n v="280000000"/>
    <n v="381932682"/>
    <n v="2137405"/>
    <s v="[11]"/>
  </r>
  <r>
    <n v="7"/>
    <x v="3"/>
    <s v="Summer Carnival   "/>
    <s v="2023 - 2024"/>
    <n v="41"/>
    <n v="257600000"/>
    <n v="257600000"/>
    <n v="6282927"/>
    <s v="[12]"/>
  </r>
  <r>
    <n v="9"/>
    <x v="1"/>
    <s v="The Formation World Tour"/>
    <n v="2016"/>
    <n v="49"/>
    <n v="256084556"/>
    <n v="312258401"/>
    <n v="5226215"/>
    <s v="[13]"/>
  </r>
  <r>
    <n v="10"/>
    <x v="0"/>
    <s v="The 1989 World Tour"/>
    <n v="2015"/>
    <n v="85"/>
    <n v="250400000"/>
    <n v="309141878"/>
    <n v="2945882"/>
    <s v="[14]"/>
  </r>
  <r>
    <n v="11"/>
    <x v="1"/>
    <s v="The Mrs. Carter Show World Tour"/>
    <s v="2013 - 2014"/>
    <n v="132"/>
    <n v="229100000"/>
    <n v="283202896"/>
    <n v="1735606"/>
    <s v="[15][16]"/>
  </r>
  <r>
    <n v="12"/>
    <x v="5"/>
    <s v="The Monster Ball Tour"/>
    <s v="2009 - 2011"/>
    <n v="203"/>
    <n v="227400000"/>
    <n v="295301479"/>
    <n v="1118227"/>
    <s v="[18]"/>
  </r>
  <r>
    <n v="13"/>
    <x v="6"/>
    <s v="Prismatic World Tour"/>
    <s v="2014 - 2015"/>
    <n v="151"/>
    <n v="204000000"/>
    <n v="251856802"/>
    <n v="1350993"/>
    <s v="[19]"/>
  </r>
  <r>
    <n v="14"/>
    <x v="7"/>
    <s v="Living Proof: The Farewell Tour "/>
    <s v="2002 - 2005"/>
    <n v="325"/>
    <n v="200000000"/>
    <n v="299676265"/>
    <n v="615385"/>
    <s v="[20]"/>
  </r>
  <r>
    <n v="15"/>
    <x v="2"/>
    <s v="Confessions Tour"/>
    <n v="2006"/>
    <n v="60"/>
    <n v="194000000"/>
    <n v="281617035"/>
    <n v="3233333"/>
    <s v="[5]"/>
  </r>
  <r>
    <n v="16"/>
    <x v="3"/>
    <s v="The Truth About Love Tour"/>
    <s v="2013 - 2014"/>
    <n v="142"/>
    <n v="184000000"/>
    <n v="227452347"/>
    <n v="1295775"/>
    <s v="[22]"/>
  </r>
  <r>
    <n v="17"/>
    <x v="5"/>
    <s v="Born This Way Ball"/>
    <s v="2012 - 2013"/>
    <n v="98"/>
    <n v="170000000"/>
    <n v="213568571"/>
    <n v="1734694"/>
    <s v="[d]"/>
  </r>
  <r>
    <n v="18"/>
    <x v="2"/>
    <s v="Rebel Heart Tour"/>
    <s v="2015 - 2016"/>
    <n v="82"/>
    <n v="169800000"/>
    <n v="207046755"/>
    <n v="2070732"/>
    <s v="[4]"/>
  </r>
  <r>
    <n v="19"/>
    <x v="8"/>
    <s v="Adele Live 2016"/>
    <s v="2016 - 2017"/>
    <n v="121"/>
    <n v="167700000"/>
    <n v="204486106"/>
    <n v="1385950"/>
    <s v="[25]"/>
  </r>
  <r>
    <n v="20"/>
    <x v="0"/>
    <s v="The Red Tour"/>
    <s v="2013 - 2014"/>
    <n v="86"/>
    <n v="150000000"/>
    <n v="185423109"/>
    <n v="1744186"/>
    <s v="[26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2" firstHeaderRow="1" firstDataRow="2" firstDataCol="1"/>
  <pivotFields count="9">
    <pivotField showAll="0"/>
    <pivotField axis="axisCol" showAll="0">
      <items count="11">
        <item x="8"/>
        <item x="1"/>
        <item x="4"/>
        <item x="7"/>
        <item x="6"/>
        <item x="5"/>
        <item x="2"/>
        <item x="3"/>
        <item x="0"/>
        <item x="9"/>
        <item t="default"/>
      </items>
    </pivotField>
    <pivotField showAll="0"/>
    <pivotField axis="axisRow" showAll="0">
      <items count="18">
        <item x="12"/>
        <item x="5"/>
        <item x="7"/>
        <item x="6"/>
        <item x="4"/>
        <item x="1"/>
        <item x="11"/>
        <item x="2"/>
        <item x="9"/>
        <item x="13"/>
        <item x="8"/>
        <item x="10"/>
        <item x="14"/>
        <item x="15"/>
        <item x="3"/>
        <item x="0"/>
        <item x="1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how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showAll="0"/>
    <pivotField axis="axisRow" showAll="0">
      <items count="11">
        <item x="8"/>
        <item x="1"/>
        <item x="4"/>
        <item x="7"/>
        <item x="6"/>
        <item x="5"/>
        <item x="2"/>
        <item x="3"/>
        <item x="0"/>
        <item x="9"/>
        <item t="default"/>
      </items>
    </pivotField>
    <pivotField dataField="1" showAll="0">
      <items count="22">
        <item x="18"/>
        <item x="3"/>
        <item x="16"/>
        <item x="14"/>
        <item x="13"/>
        <item x="12"/>
        <item x="17"/>
        <item x="1"/>
        <item x="4"/>
        <item x="2"/>
        <item x="7"/>
        <item x="6"/>
        <item x="9"/>
        <item x="0"/>
        <item x="8"/>
        <item x="5"/>
        <item x="11"/>
        <item x="10"/>
        <item x="19"/>
        <item x="15"/>
        <item x="2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ur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9">
    <pivotField showAll="0"/>
    <pivotField axis="axisRow" showAll="0">
      <items count="10">
        <item x="8"/>
        <item x="1"/>
        <item x="4"/>
        <item x="7"/>
        <item x="6"/>
        <item x="5"/>
        <item x="2"/>
        <item x="3"/>
        <item x="0"/>
        <item t="default"/>
      </items>
    </pivotField>
    <pivotField showAll="0"/>
    <pivotField showAll="0"/>
    <pivotField showAll="0"/>
    <pivotField dataField="1" numFmtId="6" showAll="0"/>
    <pivotField numFmtId="6" showAll="0"/>
    <pivotField numFmtId="6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ctual gros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2"/>
  <sheetViews>
    <sheetView topLeftCell="A3" workbookViewId="0">
      <selection activeCell="E4" sqref="E4"/>
    </sheetView>
  </sheetViews>
  <sheetFormatPr defaultRowHeight="14.5" x14ac:dyDescent="0.35"/>
  <cols>
    <col min="1" max="1" width="12.453125" bestFit="1" customWidth="1"/>
    <col min="2" max="2" width="15.26953125" bestFit="1" customWidth="1"/>
    <col min="3" max="3" width="7.81640625" bestFit="1" customWidth="1"/>
    <col min="4" max="4" width="10.26953125" bestFit="1" customWidth="1"/>
    <col min="5" max="5" width="4.7265625" bestFit="1" customWidth="1"/>
    <col min="6" max="6" width="9.453125" bestFit="1" customWidth="1"/>
    <col min="7" max="7" width="9.26953125" bestFit="1" customWidth="1"/>
    <col min="8" max="8" width="8.90625" bestFit="1" customWidth="1"/>
    <col min="9" max="9" width="4.453125" bestFit="1" customWidth="1"/>
    <col min="10" max="10" width="10.6328125" bestFit="1" customWidth="1"/>
    <col min="11" max="11" width="6.7265625" bestFit="1" customWidth="1"/>
    <col min="12" max="12" width="10.7265625" bestFit="1" customWidth="1"/>
    <col min="13" max="13" width="9.54296875" bestFit="1" customWidth="1"/>
    <col min="14" max="14" width="12.1796875" bestFit="1" customWidth="1"/>
    <col min="15" max="15" width="15.1796875" bestFit="1" customWidth="1"/>
    <col min="16" max="16" width="12.1796875" bestFit="1" customWidth="1"/>
    <col min="17" max="17" width="8.90625" bestFit="1" customWidth="1"/>
    <col min="18" max="18" width="15.1796875" bestFit="1" customWidth="1"/>
    <col min="19" max="19" width="12.1796875" bestFit="1" customWidth="1"/>
    <col min="20" max="20" width="15.1796875" bestFit="1" customWidth="1"/>
    <col min="21" max="21" width="12.1796875" bestFit="1" customWidth="1"/>
    <col min="22" max="22" width="15.1796875" bestFit="1" customWidth="1"/>
    <col min="23" max="23" width="12.1796875" bestFit="1" customWidth="1"/>
    <col min="24" max="24" width="4.453125" bestFit="1" customWidth="1"/>
    <col min="25" max="25" width="10.6328125" bestFit="1" customWidth="1"/>
    <col min="26" max="26" width="15.1796875" bestFit="1" customWidth="1"/>
    <col min="27" max="27" width="12.1796875" bestFit="1" customWidth="1"/>
    <col min="28" max="28" width="15.1796875" bestFit="1" customWidth="1"/>
    <col min="29" max="29" width="12.1796875" bestFit="1" customWidth="1"/>
    <col min="30" max="30" width="15.1796875" bestFit="1" customWidth="1"/>
    <col min="31" max="31" width="12.1796875" bestFit="1" customWidth="1"/>
    <col min="32" max="32" width="15.1796875" bestFit="1" customWidth="1"/>
    <col min="33" max="33" width="12.1796875" bestFit="1" customWidth="1"/>
    <col min="34" max="34" width="15.1796875" bestFit="1" customWidth="1"/>
    <col min="35" max="35" width="12.1796875" bestFit="1" customWidth="1"/>
    <col min="36" max="36" width="10.6328125" bestFit="1" customWidth="1"/>
    <col min="37" max="37" width="15.1796875" bestFit="1" customWidth="1"/>
    <col min="38" max="38" width="8.54296875" bestFit="1" customWidth="1"/>
    <col min="39" max="39" width="11.453125" bestFit="1" customWidth="1"/>
    <col min="40" max="40" width="10.7265625" bestFit="1" customWidth="1"/>
  </cols>
  <sheetData>
    <row r="3" spans="1:12" x14ac:dyDescent="0.35">
      <c r="A3" s="2" t="s">
        <v>70</v>
      </c>
      <c r="B3" s="2" t="s">
        <v>71</v>
      </c>
    </row>
    <row r="4" spans="1:12" x14ac:dyDescent="0.35">
      <c r="A4" s="2" t="s">
        <v>67</v>
      </c>
      <c r="B4" t="s">
        <v>42</v>
      </c>
      <c r="C4" t="s">
        <v>60</v>
      </c>
      <c r="D4" t="s">
        <v>17</v>
      </c>
      <c r="E4" t="s">
        <v>32</v>
      </c>
      <c r="F4" t="s">
        <v>29</v>
      </c>
      <c r="G4" t="s">
        <v>27</v>
      </c>
      <c r="H4" t="s">
        <v>8</v>
      </c>
      <c r="I4" t="s">
        <v>10</v>
      </c>
      <c r="J4" t="s">
        <v>4</v>
      </c>
      <c r="K4" t="s">
        <v>68</v>
      </c>
      <c r="L4" t="s">
        <v>69</v>
      </c>
    </row>
    <row r="5" spans="1:12" x14ac:dyDescent="0.35">
      <c r="A5" s="3">
        <v>2006</v>
      </c>
      <c r="H5">
        <v>60</v>
      </c>
      <c r="L5">
        <v>60</v>
      </c>
    </row>
    <row r="6" spans="1:12" x14ac:dyDescent="0.35">
      <c r="A6" s="3">
        <v>2012</v>
      </c>
      <c r="H6">
        <v>88</v>
      </c>
      <c r="L6">
        <v>88</v>
      </c>
    </row>
    <row r="7" spans="1:12" x14ac:dyDescent="0.35">
      <c r="A7" s="3">
        <v>2015</v>
      </c>
      <c r="J7">
        <v>85</v>
      </c>
      <c r="L7">
        <v>85</v>
      </c>
    </row>
    <row r="8" spans="1:12" x14ac:dyDescent="0.35">
      <c r="A8" s="3">
        <v>2016</v>
      </c>
      <c r="C8">
        <v>49</v>
      </c>
      <c r="L8">
        <v>49</v>
      </c>
    </row>
    <row r="9" spans="1:12" x14ac:dyDescent="0.35">
      <c r="A9" s="3">
        <v>2018</v>
      </c>
      <c r="J9">
        <v>53</v>
      </c>
      <c r="L9">
        <v>53</v>
      </c>
    </row>
    <row r="10" spans="1:12" x14ac:dyDescent="0.35">
      <c r="A10" s="3">
        <v>2023</v>
      </c>
      <c r="C10">
        <v>56</v>
      </c>
      <c r="L10">
        <v>56</v>
      </c>
    </row>
    <row r="11" spans="1:12" x14ac:dyDescent="0.35">
      <c r="A11" s="3" t="s">
        <v>54</v>
      </c>
      <c r="E11">
        <v>325</v>
      </c>
      <c r="L11">
        <v>325</v>
      </c>
    </row>
    <row r="12" spans="1:12" x14ac:dyDescent="0.35">
      <c r="A12" s="3" t="s">
        <v>49</v>
      </c>
      <c r="D12">
        <v>131</v>
      </c>
      <c r="H12">
        <v>85</v>
      </c>
      <c r="L12">
        <v>216</v>
      </c>
    </row>
    <row r="13" spans="1:12" x14ac:dyDescent="0.35">
      <c r="A13" s="3" t="s">
        <v>52</v>
      </c>
      <c r="G13">
        <v>203</v>
      </c>
      <c r="L13">
        <v>203</v>
      </c>
    </row>
    <row r="14" spans="1:12" x14ac:dyDescent="0.35">
      <c r="A14" s="3" t="s">
        <v>55</v>
      </c>
      <c r="G14">
        <v>98</v>
      </c>
      <c r="L14">
        <v>98</v>
      </c>
    </row>
    <row r="15" spans="1:12" x14ac:dyDescent="0.35">
      <c r="A15" s="3" t="s">
        <v>51</v>
      </c>
      <c r="C15">
        <v>132</v>
      </c>
      <c r="I15">
        <v>142</v>
      </c>
      <c r="J15">
        <v>86</v>
      </c>
      <c r="L15">
        <v>360</v>
      </c>
    </row>
    <row r="16" spans="1:12" x14ac:dyDescent="0.35">
      <c r="A16" s="3" t="s">
        <v>53</v>
      </c>
      <c r="F16">
        <v>151</v>
      </c>
      <c r="L16">
        <v>151</v>
      </c>
    </row>
    <row r="17" spans="1:12" x14ac:dyDescent="0.35">
      <c r="A17" s="3" t="s">
        <v>56</v>
      </c>
      <c r="H17">
        <v>82</v>
      </c>
      <c r="L17">
        <v>82</v>
      </c>
    </row>
    <row r="18" spans="1:12" x14ac:dyDescent="0.35">
      <c r="A18" s="3" t="s">
        <v>57</v>
      </c>
      <c r="B18">
        <v>121</v>
      </c>
      <c r="L18">
        <v>121</v>
      </c>
    </row>
    <row r="19" spans="1:12" x14ac:dyDescent="0.35">
      <c r="A19" s="3" t="s">
        <v>50</v>
      </c>
      <c r="I19">
        <v>156</v>
      </c>
      <c r="L19">
        <v>156</v>
      </c>
    </row>
    <row r="20" spans="1:12" x14ac:dyDescent="0.35">
      <c r="A20" s="3" t="s">
        <v>48</v>
      </c>
      <c r="I20">
        <v>41</v>
      </c>
      <c r="J20">
        <v>56</v>
      </c>
      <c r="L20">
        <v>97</v>
      </c>
    </row>
    <row r="21" spans="1:12" x14ac:dyDescent="0.35">
      <c r="A21" s="3" t="s">
        <v>68</v>
      </c>
    </row>
    <row r="22" spans="1:12" x14ac:dyDescent="0.35">
      <c r="A22" s="3" t="s">
        <v>69</v>
      </c>
      <c r="B22">
        <v>121</v>
      </c>
      <c r="C22">
        <v>237</v>
      </c>
      <c r="D22">
        <v>131</v>
      </c>
      <c r="E22">
        <v>325</v>
      </c>
      <c r="F22">
        <v>151</v>
      </c>
      <c r="G22">
        <v>301</v>
      </c>
      <c r="H22">
        <v>315</v>
      </c>
      <c r="I22">
        <v>339</v>
      </c>
      <c r="J22">
        <v>280</v>
      </c>
      <c r="L22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6.36328125" bestFit="1" customWidth="1"/>
    <col min="3" max="3" width="25.6328125" bestFit="1" customWidth="1"/>
    <col min="4" max="4" width="16.36328125" bestFit="1" customWidth="1"/>
    <col min="5" max="5" width="15.26953125" bestFit="1" customWidth="1"/>
    <col min="6" max="6" width="27.26953125" bestFit="1" customWidth="1"/>
    <col min="7" max="7" width="18.7265625" bestFit="1" customWidth="1"/>
    <col min="8" max="8" width="15.08984375" bestFit="1" customWidth="1"/>
    <col min="9" max="9" width="21.26953125" bestFit="1" customWidth="1"/>
    <col min="10" max="10" width="22.1796875" bestFit="1" customWidth="1"/>
    <col min="11" max="11" width="17.6328125" bestFit="1" customWidth="1"/>
    <col min="12" max="12" width="16.453125" bestFit="1" customWidth="1"/>
    <col min="13" max="13" width="23.90625" bestFit="1" customWidth="1"/>
    <col min="14" max="14" width="18.54296875" bestFit="1" customWidth="1"/>
    <col min="15" max="15" width="13.7265625" bestFit="1" customWidth="1"/>
    <col min="16" max="16" width="23.36328125" bestFit="1" customWidth="1"/>
    <col min="17" max="17" width="14.26953125" bestFit="1" customWidth="1"/>
    <col min="18" max="18" width="19.54296875" bestFit="1" customWidth="1"/>
    <col min="19" max="19" width="29.36328125" bestFit="1" customWidth="1"/>
    <col min="20" max="20" width="11.90625" bestFit="1" customWidth="1"/>
    <col min="21" max="21" width="23.54296875" bestFit="1" customWidth="1"/>
    <col min="22" max="22" width="6.7265625" bestFit="1" customWidth="1"/>
    <col min="23" max="23" width="10.7265625" bestFit="1" customWidth="1"/>
  </cols>
  <sheetData>
    <row r="3" spans="1:2" x14ac:dyDescent="0.35">
      <c r="A3" s="2" t="s">
        <v>67</v>
      </c>
      <c r="B3" t="s">
        <v>72</v>
      </c>
    </row>
    <row r="4" spans="1:2" x14ac:dyDescent="0.35">
      <c r="A4" s="3" t="s">
        <v>42</v>
      </c>
      <c r="B4">
        <v>1</v>
      </c>
    </row>
    <row r="5" spans="1:2" x14ac:dyDescent="0.35">
      <c r="A5" s="3" t="s">
        <v>60</v>
      </c>
      <c r="B5">
        <v>3</v>
      </c>
    </row>
    <row r="6" spans="1:2" x14ac:dyDescent="0.35">
      <c r="A6" s="3" t="s">
        <v>17</v>
      </c>
      <c r="B6">
        <v>1</v>
      </c>
    </row>
    <row r="7" spans="1:2" x14ac:dyDescent="0.35">
      <c r="A7" s="3" t="s">
        <v>32</v>
      </c>
      <c r="B7">
        <v>1</v>
      </c>
    </row>
    <row r="8" spans="1:2" x14ac:dyDescent="0.35">
      <c r="A8" s="3" t="s">
        <v>29</v>
      </c>
      <c r="B8">
        <v>1</v>
      </c>
    </row>
    <row r="9" spans="1:2" x14ac:dyDescent="0.35">
      <c r="A9" s="3" t="s">
        <v>27</v>
      </c>
      <c r="B9">
        <v>2</v>
      </c>
    </row>
    <row r="10" spans="1:2" x14ac:dyDescent="0.35">
      <c r="A10" s="3" t="s">
        <v>8</v>
      </c>
      <c r="B10">
        <v>4</v>
      </c>
    </row>
    <row r="11" spans="1:2" x14ac:dyDescent="0.35">
      <c r="A11" s="3" t="s">
        <v>10</v>
      </c>
      <c r="B11">
        <v>3</v>
      </c>
    </row>
    <row r="12" spans="1:2" x14ac:dyDescent="0.35">
      <c r="A12" s="3" t="s">
        <v>4</v>
      </c>
      <c r="B12">
        <v>4</v>
      </c>
    </row>
    <row r="13" spans="1:2" x14ac:dyDescent="0.35">
      <c r="A13" s="3" t="s">
        <v>68</v>
      </c>
    </row>
    <row r="14" spans="1:2" x14ac:dyDescent="0.35">
      <c r="A14" s="3" t="s">
        <v>69</v>
      </c>
      <c r="B1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3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7.36328125" style="4" bestFit="1" customWidth="1"/>
  </cols>
  <sheetData>
    <row r="3" spans="1:2" x14ac:dyDescent="0.35">
      <c r="A3" s="2" t="s">
        <v>67</v>
      </c>
      <c r="B3" s="4" t="s">
        <v>74</v>
      </c>
    </row>
    <row r="4" spans="1:2" x14ac:dyDescent="0.35">
      <c r="A4" s="3" t="s">
        <v>42</v>
      </c>
      <c r="B4" s="4">
        <v>167700000</v>
      </c>
    </row>
    <row r="5" spans="1:2" x14ac:dyDescent="0.35">
      <c r="A5" s="3" t="s">
        <v>60</v>
      </c>
      <c r="B5" s="4">
        <v>1064984556</v>
      </c>
    </row>
    <row r="6" spans="1:2" x14ac:dyDescent="0.35">
      <c r="A6" s="3" t="s">
        <v>17</v>
      </c>
      <c r="B6" s="4">
        <v>280000000</v>
      </c>
    </row>
    <row r="7" spans="1:2" x14ac:dyDescent="0.35">
      <c r="A7" s="3" t="s">
        <v>32</v>
      </c>
      <c r="B7" s="4">
        <v>200000000</v>
      </c>
    </row>
    <row r="8" spans="1:2" x14ac:dyDescent="0.35">
      <c r="A8" s="3" t="s">
        <v>29</v>
      </c>
      <c r="B8" s="4">
        <v>204000000</v>
      </c>
    </row>
    <row r="9" spans="1:2" x14ac:dyDescent="0.35">
      <c r="A9" s="3" t="s">
        <v>27</v>
      </c>
      <c r="B9" s="4">
        <v>397400000</v>
      </c>
    </row>
    <row r="10" spans="1:2" x14ac:dyDescent="0.35">
      <c r="A10" s="3" t="s">
        <v>8</v>
      </c>
      <c r="B10" s="4">
        <v>1079958363</v>
      </c>
    </row>
    <row r="11" spans="1:2" x14ac:dyDescent="0.35">
      <c r="A11" s="3" t="s">
        <v>10</v>
      </c>
      <c r="B11" s="4">
        <v>838900000</v>
      </c>
    </row>
    <row r="12" spans="1:2" x14ac:dyDescent="0.35">
      <c r="A12" s="3" t="s">
        <v>4</v>
      </c>
      <c r="B12" s="4">
        <v>1526075146</v>
      </c>
    </row>
    <row r="13" spans="1:2" x14ac:dyDescent="0.35">
      <c r="A13" s="3" t="s">
        <v>69</v>
      </c>
      <c r="B13" s="4">
        <v>5759018065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abSelected="1" workbookViewId="0">
      <selection activeCell="K5" sqref="K5"/>
    </sheetView>
  </sheetViews>
  <sheetFormatPr defaultRowHeight="14.5" x14ac:dyDescent="0.35"/>
  <cols>
    <col min="2" max="2" width="10.54296875" bestFit="1" customWidth="1"/>
    <col min="3" max="3" width="35.54296875" bestFit="1" customWidth="1"/>
    <col min="4" max="4" width="35.54296875" customWidth="1"/>
    <col min="5" max="5" width="11.6328125" bestFit="1" customWidth="1"/>
    <col min="7" max="7" width="14.1796875" bestFit="1" customWidth="1"/>
    <col min="8" max="8" width="28.36328125" bestFit="1" customWidth="1"/>
    <col min="9" max="9" width="12.36328125" bestFit="1" customWidth="1"/>
    <col min="12" max="12" width="13.90625" bestFit="1" customWidth="1"/>
  </cols>
  <sheetData>
    <row r="1" spans="1:12" x14ac:dyDescent="0.35">
      <c r="A1" t="s">
        <v>0</v>
      </c>
      <c r="B1" t="s">
        <v>73</v>
      </c>
      <c r="C1" t="s">
        <v>1</v>
      </c>
      <c r="D1" t="s">
        <v>77</v>
      </c>
      <c r="E1" t="s">
        <v>75</v>
      </c>
      <c r="F1" t="s">
        <v>76</v>
      </c>
      <c r="G1" t="s">
        <v>47</v>
      </c>
      <c r="H1" t="s">
        <v>65</v>
      </c>
      <c r="I1" t="s">
        <v>2</v>
      </c>
      <c r="J1" t="s">
        <v>3</v>
      </c>
    </row>
    <row r="2" spans="1:12" x14ac:dyDescent="0.35">
      <c r="A2">
        <v>1</v>
      </c>
      <c r="B2" t="s">
        <v>4</v>
      </c>
      <c r="C2" t="s">
        <v>58</v>
      </c>
      <c r="D2" t="str">
        <f>IF(ISNUMBER(SEARCH("Tour",C2)),LEFT(C2,FIND("Tour",C2)-1),C2)</f>
        <v xml:space="preserve">The Eras </v>
      </c>
      <c r="E2" t="s">
        <v>48</v>
      </c>
      <c r="F2">
        <v>56</v>
      </c>
      <c r="G2" s="1">
        <v>780000000</v>
      </c>
      <c r="H2" s="1">
        <v>780000000</v>
      </c>
      <c r="I2" s="1">
        <v>13928571</v>
      </c>
      <c r="J2" t="s">
        <v>5</v>
      </c>
      <c r="K2" t="s">
        <v>64</v>
      </c>
      <c r="L2" s="1">
        <f>SUM(G2:G21)</f>
        <v>5759018065</v>
      </c>
    </row>
    <row r="3" spans="1:12" x14ac:dyDescent="0.35">
      <c r="A3">
        <v>2</v>
      </c>
      <c r="B3" t="s">
        <v>60</v>
      </c>
      <c r="C3" t="s">
        <v>6</v>
      </c>
      <c r="D3" t="str">
        <f t="shared" ref="D3:D21" si="0">IF(ISNUMBER(SEARCH("Tour",C3)),LEFT(C3,FIND("Tour",C3)-1),C3)</f>
        <v xml:space="preserve">Renaissance World </v>
      </c>
      <c r="E3">
        <v>2023</v>
      </c>
      <c r="F3">
        <v>56</v>
      </c>
      <c r="G3" s="1">
        <v>579800000</v>
      </c>
      <c r="H3" s="1">
        <v>579800000</v>
      </c>
      <c r="I3" s="1">
        <v>10353571</v>
      </c>
      <c r="J3" t="s">
        <v>7</v>
      </c>
      <c r="K3" t="s">
        <v>66</v>
      </c>
      <c r="L3" s="1">
        <f>SUM(H2:H21)</f>
        <v>6877561841</v>
      </c>
    </row>
    <row r="4" spans="1:12" x14ac:dyDescent="0.35">
      <c r="A4">
        <v>3</v>
      </c>
      <c r="B4" t="s">
        <v>8</v>
      </c>
      <c r="C4" t="s">
        <v>63</v>
      </c>
      <c r="D4" t="str">
        <f t="shared" si="0"/>
        <v xml:space="preserve">Sticky &amp; Sweet </v>
      </c>
      <c r="E4" t="s">
        <v>49</v>
      </c>
      <c r="F4">
        <v>85</v>
      </c>
      <c r="G4" s="1">
        <v>411000000</v>
      </c>
      <c r="H4" s="1">
        <v>560622615</v>
      </c>
      <c r="I4" s="1">
        <v>4835294</v>
      </c>
      <c r="J4" t="s">
        <v>9</v>
      </c>
    </row>
    <row r="5" spans="1:12" x14ac:dyDescent="0.35">
      <c r="A5">
        <v>4</v>
      </c>
      <c r="B5" t="s">
        <v>10</v>
      </c>
      <c r="C5" t="s">
        <v>11</v>
      </c>
      <c r="D5" t="str">
        <f t="shared" si="0"/>
        <v xml:space="preserve">Beautiful Trauma World </v>
      </c>
      <c r="E5" t="s">
        <v>50</v>
      </c>
      <c r="F5">
        <v>156</v>
      </c>
      <c r="G5" s="1">
        <v>397300000</v>
      </c>
      <c r="H5" s="1">
        <v>454751555</v>
      </c>
      <c r="I5" s="1">
        <v>2546795</v>
      </c>
      <c r="J5" t="s">
        <v>12</v>
      </c>
    </row>
    <row r="6" spans="1:12" x14ac:dyDescent="0.35">
      <c r="A6">
        <v>5</v>
      </c>
      <c r="B6" t="s">
        <v>4</v>
      </c>
      <c r="C6" t="s">
        <v>13</v>
      </c>
      <c r="D6" t="str">
        <f t="shared" si="0"/>
        <v xml:space="preserve">Reputation Stadium </v>
      </c>
      <c r="E6">
        <v>2018</v>
      </c>
      <c r="F6">
        <v>53</v>
      </c>
      <c r="G6" s="1">
        <v>345675146</v>
      </c>
      <c r="H6" s="1">
        <v>402844849</v>
      </c>
      <c r="I6" s="1">
        <v>6522173</v>
      </c>
      <c r="J6" t="s">
        <v>14</v>
      </c>
    </row>
    <row r="7" spans="1:12" x14ac:dyDescent="0.35">
      <c r="A7">
        <v>6</v>
      </c>
      <c r="B7" t="s">
        <v>8</v>
      </c>
      <c r="C7" t="s">
        <v>15</v>
      </c>
      <c r="D7" t="str">
        <f t="shared" si="0"/>
        <v xml:space="preserve">The MDNA </v>
      </c>
      <c r="E7">
        <v>2012</v>
      </c>
      <c r="F7">
        <v>88</v>
      </c>
      <c r="G7" s="1">
        <v>305158363</v>
      </c>
      <c r="H7" s="1">
        <v>388978496</v>
      </c>
      <c r="I7" s="1">
        <v>3467709</v>
      </c>
      <c r="J7" t="s">
        <v>16</v>
      </c>
    </row>
    <row r="8" spans="1:12" x14ac:dyDescent="0.35">
      <c r="A8">
        <v>7</v>
      </c>
      <c r="B8" t="s">
        <v>17</v>
      </c>
      <c r="C8" t="s">
        <v>18</v>
      </c>
      <c r="D8" t="str">
        <f t="shared" si="0"/>
        <v xml:space="preserve">Taking Chances World </v>
      </c>
      <c r="E8" t="s">
        <v>49</v>
      </c>
      <c r="F8">
        <v>131</v>
      </c>
      <c r="G8" s="1">
        <v>280000000</v>
      </c>
      <c r="H8" s="1">
        <v>381932682</v>
      </c>
      <c r="I8" s="1">
        <v>2137405</v>
      </c>
      <c r="J8" t="s">
        <v>19</v>
      </c>
    </row>
    <row r="9" spans="1:12" x14ac:dyDescent="0.35">
      <c r="A9">
        <v>7</v>
      </c>
      <c r="B9" t="s">
        <v>10</v>
      </c>
      <c r="C9" t="s">
        <v>59</v>
      </c>
      <c r="D9" t="str">
        <f t="shared" si="0"/>
        <v>Summer Carnival   </v>
      </c>
      <c r="E9" t="s">
        <v>48</v>
      </c>
      <c r="F9">
        <v>41</v>
      </c>
      <c r="G9" s="1">
        <v>257600000</v>
      </c>
      <c r="H9" s="1">
        <v>257600000</v>
      </c>
      <c r="I9" s="1">
        <v>6282927</v>
      </c>
      <c r="J9" t="s">
        <v>20</v>
      </c>
    </row>
    <row r="10" spans="1:12" x14ac:dyDescent="0.35">
      <c r="A10">
        <v>9</v>
      </c>
      <c r="B10" t="s">
        <v>60</v>
      </c>
      <c r="C10" t="s">
        <v>21</v>
      </c>
      <c r="D10" t="str">
        <f t="shared" si="0"/>
        <v xml:space="preserve">The Formation World </v>
      </c>
      <c r="E10">
        <v>2016</v>
      </c>
      <c r="F10">
        <v>49</v>
      </c>
      <c r="G10" s="1">
        <v>256084556</v>
      </c>
      <c r="H10" s="1">
        <v>312258401</v>
      </c>
      <c r="I10" s="1">
        <v>5226215</v>
      </c>
      <c r="J10" t="s">
        <v>22</v>
      </c>
    </row>
    <row r="11" spans="1:12" x14ac:dyDescent="0.35">
      <c r="A11">
        <v>10</v>
      </c>
      <c r="B11" t="s">
        <v>4</v>
      </c>
      <c r="C11" t="s">
        <v>23</v>
      </c>
      <c r="D11" t="str">
        <f t="shared" si="0"/>
        <v xml:space="preserve">The 1989 World </v>
      </c>
      <c r="E11">
        <v>2015</v>
      </c>
      <c r="F11">
        <v>85</v>
      </c>
      <c r="G11" s="1">
        <v>250400000</v>
      </c>
      <c r="H11" s="1">
        <v>309141878</v>
      </c>
      <c r="I11" s="1">
        <v>2945882</v>
      </c>
      <c r="J11" t="s">
        <v>24</v>
      </c>
    </row>
    <row r="12" spans="1:12" x14ac:dyDescent="0.35">
      <c r="A12">
        <v>11</v>
      </c>
      <c r="B12" t="s">
        <v>60</v>
      </c>
      <c r="C12" t="s">
        <v>25</v>
      </c>
      <c r="D12" t="str">
        <f t="shared" si="0"/>
        <v xml:space="preserve">The Mrs. Carter Show World </v>
      </c>
      <c r="E12" t="s">
        <v>51</v>
      </c>
      <c r="F12">
        <v>132</v>
      </c>
      <c r="G12" s="1">
        <v>229100000</v>
      </c>
      <c r="H12" s="1">
        <v>283202896</v>
      </c>
      <c r="I12" s="1">
        <v>1735606</v>
      </c>
      <c r="J12" t="s">
        <v>26</v>
      </c>
    </row>
    <row r="13" spans="1:12" x14ac:dyDescent="0.35">
      <c r="A13">
        <v>12</v>
      </c>
      <c r="B13" t="s">
        <v>27</v>
      </c>
      <c r="C13" t="s">
        <v>62</v>
      </c>
      <c r="D13" t="str">
        <f t="shared" si="0"/>
        <v xml:space="preserve">The Monster Ball </v>
      </c>
      <c r="E13" t="s">
        <v>52</v>
      </c>
      <c r="F13">
        <v>203</v>
      </c>
      <c r="G13" s="1">
        <v>227400000</v>
      </c>
      <c r="H13" s="1">
        <v>295301479</v>
      </c>
      <c r="I13" s="1">
        <v>1118227</v>
      </c>
      <c r="J13" t="s">
        <v>28</v>
      </c>
    </row>
    <row r="14" spans="1:12" x14ac:dyDescent="0.35">
      <c r="A14">
        <v>13</v>
      </c>
      <c r="B14" t="s">
        <v>29</v>
      </c>
      <c r="C14" t="s">
        <v>30</v>
      </c>
      <c r="D14" t="str">
        <f t="shared" si="0"/>
        <v xml:space="preserve">Prismatic World </v>
      </c>
      <c r="E14" t="s">
        <v>53</v>
      </c>
      <c r="F14">
        <v>151</v>
      </c>
      <c r="G14" s="1">
        <v>204000000</v>
      </c>
      <c r="H14" s="1">
        <v>251856802</v>
      </c>
      <c r="I14" s="1">
        <v>1350993</v>
      </c>
      <c r="J14" t="s">
        <v>31</v>
      </c>
    </row>
    <row r="15" spans="1:12" x14ac:dyDescent="0.35">
      <c r="A15">
        <v>14</v>
      </c>
      <c r="B15" t="s">
        <v>32</v>
      </c>
      <c r="C15" t="s">
        <v>61</v>
      </c>
      <c r="D15" t="str">
        <f t="shared" si="0"/>
        <v xml:space="preserve">Living Proof: The Farewell </v>
      </c>
      <c r="E15" t="s">
        <v>54</v>
      </c>
      <c r="F15">
        <v>325</v>
      </c>
      <c r="G15" s="1">
        <v>200000000</v>
      </c>
      <c r="H15" s="1">
        <v>299676265</v>
      </c>
      <c r="I15" s="1">
        <v>615385</v>
      </c>
      <c r="J15" t="s">
        <v>33</v>
      </c>
    </row>
    <row r="16" spans="1:12" x14ac:dyDescent="0.35">
      <c r="A16">
        <v>15</v>
      </c>
      <c r="B16" t="s">
        <v>8</v>
      </c>
      <c r="C16" t="s">
        <v>34</v>
      </c>
      <c r="D16" t="str">
        <f t="shared" si="0"/>
        <v xml:space="preserve">Confessions </v>
      </c>
      <c r="E16">
        <v>2006</v>
      </c>
      <c r="F16">
        <v>60</v>
      </c>
      <c r="G16" s="1">
        <v>194000000</v>
      </c>
      <c r="H16" s="1">
        <v>281617035</v>
      </c>
      <c r="I16" s="1">
        <v>3233333</v>
      </c>
      <c r="J16" t="s">
        <v>35</v>
      </c>
    </row>
    <row r="17" spans="1:10" x14ac:dyDescent="0.35">
      <c r="A17">
        <v>16</v>
      </c>
      <c r="B17" t="s">
        <v>10</v>
      </c>
      <c r="C17" t="s">
        <v>36</v>
      </c>
      <c r="D17" t="str">
        <f t="shared" si="0"/>
        <v xml:space="preserve">The Truth About Love </v>
      </c>
      <c r="E17" t="s">
        <v>51</v>
      </c>
      <c r="F17">
        <v>142</v>
      </c>
      <c r="G17" s="1">
        <v>184000000</v>
      </c>
      <c r="H17" s="1">
        <v>227452347</v>
      </c>
      <c r="I17" s="1">
        <v>1295775</v>
      </c>
      <c r="J17" t="s">
        <v>37</v>
      </c>
    </row>
    <row r="18" spans="1:10" x14ac:dyDescent="0.35">
      <c r="A18">
        <v>17</v>
      </c>
      <c r="B18" t="s">
        <v>27</v>
      </c>
      <c r="C18" t="s">
        <v>38</v>
      </c>
      <c r="D18" t="str">
        <f t="shared" si="0"/>
        <v>Born This Way Ball</v>
      </c>
      <c r="E18" t="s">
        <v>55</v>
      </c>
      <c r="F18">
        <v>98</v>
      </c>
      <c r="G18" s="1">
        <v>170000000</v>
      </c>
      <c r="H18" s="1">
        <v>213568571</v>
      </c>
      <c r="I18" s="1">
        <v>1734694</v>
      </c>
      <c r="J18" t="s">
        <v>39</v>
      </c>
    </row>
    <row r="19" spans="1:10" x14ac:dyDescent="0.35">
      <c r="A19">
        <v>18</v>
      </c>
      <c r="B19" t="s">
        <v>8</v>
      </c>
      <c r="C19" t="s">
        <v>40</v>
      </c>
      <c r="D19" t="str">
        <f t="shared" si="0"/>
        <v xml:space="preserve">Rebel Heart </v>
      </c>
      <c r="E19" t="s">
        <v>56</v>
      </c>
      <c r="F19">
        <v>82</v>
      </c>
      <c r="G19" s="1">
        <v>169800000</v>
      </c>
      <c r="H19" s="1">
        <v>207046755</v>
      </c>
      <c r="I19" s="1">
        <v>2070732</v>
      </c>
      <c r="J19" t="s">
        <v>41</v>
      </c>
    </row>
    <row r="20" spans="1:10" x14ac:dyDescent="0.35">
      <c r="A20">
        <v>19</v>
      </c>
      <c r="B20" t="s">
        <v>42</v>
      </c>
      <c r="C20" t="s">
        <v>43</v>
      </c>
      <c r="D20" t="str">
        <f t="shared" si="0"/>
        <v>Adele Live 2016</v>
      </c>
      <c r="E20" t="s">
        <v>57</v>
      </c>
      <c r="F20">
        <v>121</v>
      </c>
      <c r="G20" s="1">
        <v>167700000</v>
      </c>
      <c r="H20" s="1">
        <v>204486106</v>
      </c>
      <c r="I20" s="1">
        <v>1385950</v>
      </c>
      <c r="J20" t="s">
        <v>44</v>
      </c>
    </row>
    <row r="21" spans="1:10" x14ac:dyDescent="0.35">
      <c r="A21">
        <v>20</v>
      </c>
      <c r="B21" t="s">
        <v>4</v>
      </c>
      <c r="C21" t="s">
        <v>45</v>
      </c>
      <c r="D21" t="str">
        <f t="shared" si="0"/>
        <v xml:space="preserve">The Red </v>
      </c>
      <c r="E21" t="s">
        <v>51</v>
      </c>
      <c r="F21">
        <v>86</v>
      </c>
      <c r="G21" s="1">
        <v>150000000</v>
      </c>
      <c r="H21" s="1">
        <v>185423109</v>
      </c>
      <c r="I21" s="1">
        <v>1744186</v>
      </c>
      <c r="J21" t="s">
        <v>46</v>
      </c>
    </row>
  </sheetData>
  <autoFilter ref="A1:J21" xr:uid="{00000000-0009-0000-0000-000003000000}"/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Shows gone by artistes yearly</vt:lpstr>
      <vt:lpstr>Number of tours V Artistes</vt:lpstr>
      <vt:lpstr>Acutal gross for each Artiste</vt:lpstr>
      <vt:lpstr>my_file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Abisade Adegboye</dc:creator>
  <cp:lastModifiedBy>Abisade</cp:lastModifiedBy>
  <dcterms:created xsi:type="dcterms:W3CDTF">2026-07-06T01:40:13Z</dcterms:created>
  <dcterms:modified xsi:type="dcterms:W3CDTF">2026-07-07T19:13:36Z</dcterms:modified>
</cp:coreProperties>
</file>